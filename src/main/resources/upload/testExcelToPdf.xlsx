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00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<sst xmlns="http://schemas.openxmlformats.org/spreadsheetml/2006/main" count="31" uniqueCount="30">
  <si>
    <t>电商系统项目</t>
  </si>
  <si>
    <r>
      <rPr>
        <b/>
        <sz val="12"/>
        <rFont val="Arial"/>
        <charset val="134"/>
      </rPr>
      <t>Created by:</t>
    </r>
    <r>
      <rPr>
        <b/>
        <sz val="12"/>
        <rFont val="宋体"/>
        <charset val="134"/>
      </rPr>
      <t>洪铱宁</t>
    </r>
  </si>
  <si>
    <t>Date:2022/11/1</t>
  </si>
  <si>
    <t>Note: Change the inputs, shown in green below (i.e. interest rate, number of years, costs, and benefits). Be sure to double-check the formulas based on the inputs.</t>
  </si>
  <si>
    <t>支持商业战略：减少内部成本，开发新的基于网络的技术来帮助员工</t>
  </si>
  <si>
    <t>Discount rate</t>
  </si>
  <si>
    <t>Assume the project is completed in Year 0</t>
  </si>
  <si>
    <t>Year</t>
  </si>
  <si>
    <t>Total</t>
  </si>
  <si>
    <t>Costs</t>
  </si>
  <si>
    <t>Discount factor</t>
  </si>
  <si>
    <t>Discounted costs</t>
  </si>
  <si>
    <t>Benefits</t>
  </si>
  <si>
    <t>Discounted benefits</t>
  </si>
  <si>
    <t>Discounted benefits - costs</t>
  </si>
  <si>
    <t>NPV</t>
  </si>
  <si>
    <t>Cumulative benefits - costs</t>
  </si>
  <si>
    <t>ROI</t>
  </si>
  <si>
    <t>Payback in Year 0</t>
  </si>
  <si>
    <t>Assumptions</t>
  </si>
  <si>
    <t>假设</t>
  </si>
  <si>
    <t>成本</t>
  </si>
  <si>
    <t>元</t>
  </si>
  <si>
    <t>项目经理（480小时，￥200/小时）</t>
  </si>
  <si>
    <r>
      <rPr>
        <sz val="10"/>
        <rFont val="宋体"/>
        <charset val="134"/>
      </rPr>
      <t>其他项目组成员（600小时，￥1</t>
    </r>
    <r>
      <rPr>
        <sz val="10"/>
        <rFont val="Arial"/>
        <charset val="134"/>
      </rPr>
      <t>00/</t>
    </r>
    <r>
      <rPr>
        <sz val="10"/>
        <rFont val="宋体"/>
        <charset val="134"/>
      </rPr>
      <t>小时）</t>
    </r>
  </si>
  <si>
    <t>硬件</t>
  </si>
  <si>
    <t>软件</t>
  </si>
  <si>
    <t>服务器</t>
  </si>
  <si>
    <t>维护</t>
  </si>
  <si>
    <t>10000/年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</si>
</sst>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(* #,##0_);_(* \(#,##0\);_(* &quot;-&quot;??_);_(@_)"/>
  </numFmts>
  <fonts count="30">
    <font>
      <sz val="10"/>
      <name val="Arial"/>
      <charset val="134"/>
    </font>
    <font>
      <b/>
      <sz val="18"/>
      <name val="宋体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12"/>
      <name val="New York"/>
      <charset val="134"/>
    </font>
    <font>
      <b/>
      <sz val="12"/>
      <name val="宋体"/>
      <charset val="134"/>
    </font>
    <font>
      <b/>
      <sz val="12"/>
      <name val="New York"/>
      <charset val="134"/>
    </font>
    <font>
      <b/>
      <sz val="10"/>
      <name val="Arial"/>
      <charset val="134"/>
    </font>
    <font>
      <b/>
      <sz val="10"/>
      <color rgb="FF00B05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1" applyNumberFormat="0" applyAlignment="0" applyProtection="0">
      <alignment vertical="center"/>
    </xf>
    <xf numFmtId="176" fontId="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1" borderId="1" applyNumberFormat="0" applyAlignment="0" applyProtection="0">
      <alignment vertical="center"/>
    </xf>
    <xf numFmtId="0" fontId="25" fillId="12" borderId="6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/>
    <xf numFmtId="10" fontId="8" fillId="0" borderId="0" xfId="0" applyNumberFormat="1" applyFont="1"/>
    <xf numFmtId="9" fontId="7" fillId="0" borderId="0" xfId="0" applyNumberFormat="1" applyFont="1"/>
    <xf numFmtId="0" fontId="8" fillId="0" borderId="0" xfId="4" applyNumberFormat="1" applyFont="1"/>
    <xf numFmtId="0" fontId="8" fillId="0" borderId="0" xfId="0" applyFont="1"/>
    <xf numFmtId="3" fontId="8" fillId="0" borderId="0" xfId="0" applyNumberFormat="1" applyFont="1"/>
    <xf numFmtId="2" fontId="0" fillId="0" borderId="0" xfId="0" applyNumberFormat="1"/>
    <xf numFmtId="178" fontId="7" fillId="0" borderId="0" xfId="8" applyNumberFormat="1" applyFont="1"/>
    <xf numFmtId="178" fontId="7" fillId="0" borderId="0" xfId="0" applyNumberFormat="1" applyFont="1"/>
    <xf numFmtId="37" fontId="8" fillId="0" borderId="0" xfId="8" applyNumberFormat="1" applyFont="1"/>
    <xf numFmtId="0" fontId="7" fillId="0" borderId="0" xfId="8" applyNumberFormat="1" applyFont="1"/>
    <xf numFmtId="178" fontId="0" fillId="0" borderId="0" xfId="0" applyNumberFormat="1"/>
    <xf numFmtId="0" fontId="7" fillId="0" borderId="0" xfId="0" applyFont="1" applyAlignment="1">
      <alignment horizontal="right"/>
    </xf>
    <xf numFmtId="9" fontId="7" fillId="0" borderId="0" xfId="11" applyFont="1"/>
    <xf numFmtId="0" fontId="0" fillId="0" borderId="0" xfId="0" applyFont="1" applyAlignme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178" fontId="0" fillId="0" borderId="0" xfId="0" applyNumberFormat="1" applyFont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17</xdr:row>
      <xdr:rowOff>85725</xdr:rowOff>
    </xdr:from>
    <xdr:to>
      <xdr:col>6</xdr:col>
      <xdr:colOff>276225</xdr:colOff>
      <xdr:row>17</xdr:row>
      <xdr:rowOff>85725</xdr:rowOff>
    </xdr:to>
    <xdr:sp>
      <xdr:nvSpPr>
        <xdr:cNvPr id="1044" name="Line 2"/>
        <xdr:cNvSpPr>
          <a:spLocks noChangeShapeType="1"/>
        </xdr:cNvSpPr>
      </xdr:nvSpPr>
      <xdr:spPr>
        <a:xfrm flipH="1">
          <a:off x="6157595" y="394906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1</xdr:col>
      <xdr:colOff>680085</xdr:colOff>
      <xdr:row>19</xdr:row>
      <xdr:rowOff>45720</xdr:rowOff>
    </xdr:from>
    <xdr:to>
      <xdr:col>1</xdr:col>
      <xdr:colOff>680085</xdr:colOff>
      <xdr:row>21</xdr:row>
      <xdr:rowOff>7620</xdr:rowOff>
    </xdr:to>
    <xdr:sp>
      <xdr:nvSpPr>
        <xdr:cNvPr id="1045" name="Line 3"/>
        <xdr:cNvSpPr>
          <a:spLocks noChangeShapeType="1"/>
        </xdr:cNvSpPr>
      </xdr:nvSpPr>
      <xdr:spPr>
        <a:xfrm flipV="1">
          <a:off x="3227070" y="4244340"/>
          <a:ext cx="0" cy="29718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0</xdr:col>
      <xdr:colOff>352425</xdr:colOff>
      <xdr:row>20</xdr:row>
      <xdr:rowOff>85725</xdr:rowOff>
    </xdr:from>
    <xdr:to>
      <xdr:col>0</xdr:col>
      <xdr:colOff>2371725</xdr:colOff>
      <xdr:row>20</xdr:row>
      <xdr:rowOff>85725</xdr:rowOff>
    </xdr:to>
    <xdr:sp>
      <xdr:nvSpPr>
        <xdr:cNvPr id="1046" name="Line 4"/>
        <xdr:cNvSpPr>
          <a:spLocks noChangeShapeType="1"/>
        </xdr:cNvSpPr>
      </xdr:nvSpPr>
      <xdr:spPr>
        <a:xfrm>
          <a:off x="352425" y="4451985"/>
          <a:ext cx="201930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25"/>
  <sheetViews>
    <sheetView tabSelected="1" workbookViewId="0">
      <selection activeCell="E2" sqref="E2"/>
    </sheetView>
  </sheetViews>
  <sheetFormatPr defaultColWidth="9" defaultRowHeight="13.2"/>
  <cols>
    <col min="1" max="1" width="37.1388888888889" customWidth="1"/>
    <col min="2" max="2" width="11.4259259259259" customWidth="1"/>
    <col min="3" max="3" width="10.6666666666667" customWidth="1"/>
    <col min="4" max="5" width="9.77777777777778" customWidth="1"/>
    <col min="6" max="6" width="11"/>
  </cols>
  <sheetData>
    <row r="1" ht="31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22.8" spans="1:7">
      <c r="A2" s="4" t="s">
        <v>1</v>
      </c>
      <c r="B2" s="4"/>
      <c r="C2" s="5" t="s">
        <v>2</v>
      </c>
      <c r="D2" s="5"/>
      <c r="E2" s="6"/>
      <c r="F2" s="2"/>
      <c r="G2" s="2"/>
    </row>
    <row r="3" ht="31" customHeight="1" spans="1:7">
      <c r="A3" s="7" t="s">
        <v>3</v>
      </c>
      <c r="B3" s="7"/>
      <c r="C3" s="7"/>
      <c r="D3" s="7"/>
      <c r="E3" s="7"/>
      <c r="F3" s="7"/>
      <c r="G3" s="7"/>
    </row>
    <row r="4" ht="30" customHeight="1" spans="1:7">
      <c r="A4" s="8" t="s">
        <v>4</v>
      </c>
      <c r="B4" s="9"/>
      <c r="C4" s="9"/>
      <c r="D4" s="9"/>
      <c r="E4" s="9"/>
      <c r="F4" s="9"/>
      <c r="G4" s="9"/>
    </row>
    <row r="5" spans="1:7">
      <c r="A5" s="10"/>
      <c r="B5" s="10"/>
      <c r="C5" s="10"/>
      <c r="D5" s="10"/>
      <c r="E5" s="10"/>
      <c r="F5" s="10"/>
      <c r="G5" s="10"/>
    </row>
    <row r="6" ht="31" customHeight="1" spans="1:2">
      <c r="A6" s="11" t="s">
        <v>5</v>
      </c>
      <c r="B6" s="12">
        <v>0.08</v>
      </c>
    </row>
    <row r="7" spans="1:2">
      <c r="A7" s="11"/>
      <c r="B7" s="13"/>
    </row>
    <row r="8" spans="1:6">
      <c r="A8" t="s">
        <v>6</v>
      </c>
      <c r="D8" s="11" t="s">
        <v>7</v>
      </c>
      <c r="F8" s="11"/>
    </row>
    <row r="9" spans="2:6">
      <c r="B9" s="14">
        <v>0</v>
      </c>
      <c r="C9" s="15">
        <v>1</v>
      </c>
      <c r="D9" s="15">
        <v>2</v>
      </c>
      <c r="E9" s="15">
        <v>3</v>
      </c>
      <c r="F9" s="11" t="s">
        <v>8</v>
      </c>
    </row>
    <row r="10" spans="1:5">
      <c r="A10" t="s">
        <v>9</v>
      </c>
      <c r="B10" s="16">
        <v>266000</v>
      </c>
      <c r="C10" s="16">
        <v>10000</v>
      </c>
      <c r="D10" s="16">
        <v>10000</v>
      </c>
      <c r="E10" s="16">
        <v>10000</v>
      </c>
    </row>
    <row r="11" spans="1:5">
      <c r="A11" t="s">
        <v>10</v>
      </c>
      <c r="B11" s="17">
        <f>ROUND(1/(1+$B$6)^B$9,2)</f>
        <v>1</v>
      </c>
      <c r="C11" s="17">
        <f>ROUND(1/(1+$B$6)^C$9,2)</f>
        <v>0.93</v>
      </c>
      <c r="D11" s="17">
        <f>ROUND(1/(1+$B$6)^D$9,2)</f>
        <v>0.86</v>
      </c>
      <c r="E11" s="17">
        <f>ROUND(1/(1+$B$6)^E$9,2)</f>
        <v>0.79</v>
      </c>
    </row>
    <row r="12" spans="1:6">
      <c r="A12" s="11" t="s">
        <v>11</v>
      </c>
      <c r="B12" s="18">
        <f>B10*B11</f>
        <v>266000</v>
      </c>
      <c r="C12" s="18">
        <f>C10*C11</f>
        <v>9300</v>
      </c>
      <c r="D12" s="18">
        <f>D10*D11</f>
        <v>8600</v>
      </c>
      <c r="E12" s="18">
        <f>E10*E11</f>
        <v>7900</v>
      </c>
      <c r="F12" s="19">
        <f>SUM(B12:E12)</f>
        <v>291800</v>
      </c>
    </row>
    <row r="14" spans="1:5">
      <c r="A14" t="s">
        <v>12</v>
      </c>
      <c r="B14" s="20">
        <v>300000</v>
      </c>
      <c r="C14" s="20">
        <v>390000</v>
      </c>
      <c r="D14" s="20">
        <v>507000</v>
      </c>
      <c r="E14" s="20">
        <v>659100</v>
      </c>
    </row>
    <row r="15" spans="1:5">
      <c r="A15" t="s">
        <v>10</v>
      </c>
      <c r="B15" s="17">
        <f>ROUND(1/(1+$B$6)^B$9,2)</f>
        <v>1</v>
      </c>
      <c r="C15" s="17">
        <f>ROUND(1/(1+$B$6)^C$9,2)</f>
        <v>0.93</v>
      </c>
      <c r="D15" s="17">
        <f>ROUND(1/(1+$B$6)^D$9,2)</f>
        <v>0.86</v>
      </c>
      <c r="E15" s="17">
        <f>ROUND(1/(1+$B$6)^E$9,2)</f>
        <v>0.79</v>
      </c>
    </row>
    <row r="16" spans="1:6">
      <c r="A16" s="11" t="s">
        <v>13</v>
      </c>
      <c r="B16" s="21">
        <f>B14*B15</f>
        <v>300000</v>
      </c>
      <c r="C16" s="18">
        <f>C14*C15</f>
        <v>362700</v>
      </c>
      <c r="D16" s="18">
        <f>D14*D15</f>
        <v>436020</v>
      </c>
      <c r="E16" s="18">
        <f>E14*E15</f>
        <v>520689</v>
      </c>
      <c r="F16" s="18">
        <f>SUM(B16:E16)</f>
        <v>1619409</v>
      </c>
    </row>
    <row r="18" spans="1:7">
      <c r="A18" t="s">
        <v>14</v>
      </c>
      <c r="B18" s="22">
        <f>B16-B12</f>
        <v>34000</v>
      </c>
      <c r="C18" s="22">
        <f>C16-C12</f>
        <v>353400</v>
      </c>
      <c r="D18" s="22">
        <f>D16-D12</f>
        <v>427420</v>
      </c>
      <c r="E18" s="22">
        <f>E16-E12</f>
        <v>512789</v>
      </c>
      <c r="F18" s="19">
        <f>F16-F12</f>
        <v>1327609</v>
      </c>
      <c r="G18" s="23" t="s">
        <v>15</v>
      </c>
    </row>
    <row r="19" spans="1:5">
      <c r="A19" t="s">
        <v>16</v>
      </c>
      <c r="B19" s="22">
        <f>B18</f>
        <v>34000</v>
      </c>
      <c r="C19" s="22">
        <f>B19+C18</f>
        <v>387400</v>
      </c>
      <c r="D19" s="22">
        <f>C19+D18</f>
        <v>814820</v>
      </c>
      <c r="E19" s="22">
        <f>D19+E18</f>
        <v>1327609</v>
      </c>
    </row>
    <row r="21" spans="1:7">
      <c r="A21" s="11" t="s">
        <v>17</v>
      </c>
      <c r="B21" s="24">
        <f>(F16-F12)/F12</f>
        <v>4.54972241261138</v>
      </c>
      <c r="D21" s="25"/>
      <c r="E21" s="25"/>
      <c r="F21" s="25"/>
      <c r="G21" s="25"/>
    </row>
    <row r="22" spans="2:4">
      <c r="B22" s="26" t="s">
        <v>18</v>
      </c>
      <c r="C22" s="26"/>
      <c r="D22" s="26"/>
    </row>
    <row r="23" spans="1:1">
      <c r="A23" s="11" t="s">
        <v>19</v>
      </c>
    </row>
    <row r="24" spans="1:8">
      <c r="A24" s="27" t="s">
        <v>20</v>
      </c>
      <c r="B24" s="27"/>
      <c r="C24" s="27"/>
      <c r="D24" s="27"/>
      <c r="E24" s="28"/>
      <c r="F24" s="28"/>
      <c r="G24" s="28"/>
      <c r="H24" s="3"/>
    </row>
    <row r="25" spans="1:2">
      <c r="A25" s="29" t="s">
        <v>21</v>
      </c>
      <c r="B25" s="30" t="s">
        <v>22</v>
      </c>
    </row>
    <row r="26" ht="22.2" spans="1:7">
      <c r="A26" s="29" t="s">
        <v>23</v>
      </c>
      <c r="B26" s="30">
        <v>96000</v>
      </c>
      <c r="C26" s="31"/>
      <c r="D26" s="31"/>
      <c r="E26" s="31"/>
      <c r="F26" s="31"/>
      <c r="G26" s="31"/>
    </row>
    <row r="27" ht="23" customHeight="1" spans="1:9">
      <c r="A27" s="29" t="s">
        <v>24</v>
      </c>
      <c r="B27" s="30">
        <v>120000</v>
      </c>
      <c r="C27" s="32"/>
      <c r="D27" s="32"/>
      <c r="E27" s="2"/>
      <c r="F27" s="2"/>
      <c r="G27" s="2"/>
      <c r="H27" s="28"/>
      <c r="I27" s="28"/>
    </row>
    <row r="28" ht="20" customHeight="1" spans="1:7">
      <c r="A28" s="29" t="s">
        <v>25</v>
      </c>
      <c r="B28" s="30">
        <v>20000</v>
      </c>
      <c r="C28" s="33"/>
      <c r="D28" s="33"/>
      <c r="E28" s="33"/>
      <c r="F28" s="33"/>
      <c r="G28" s="33"/>
    </row>
    <row r="29" ht="15.6" spans="1:7">
      <c r="A29" s="29" t="s">
        <v>26</v>
      </c>
      <c r="B29" s="30">
        <v>20000</v>
      </c>
      <c r="C29" s="34"/>
      <c r="D29" s="34"/>
      <c r="E29" s="34"/>
      <c r="F29" s="34"/>
      <c r="G29" s="34"/>
    </row>
    <row r="30" spans="1:7">
      <c r="A30" s="29" t="s">
        <v>27</v>
      </c>
      <c r="B30" s="30">
        <v>10000</v>
      </c>
      <c r="C30" s="10"/>
      <c r="D30" s="10"/>
      <c r="E30" s="10"/>
      <c r="F30" s="10"/>
      <c r="G30" s="10"/>
    </row>
    <row r="31" ht="15" customHeight="1" spans="1:2">
      <c r="A31" s="29" t="s">
        <v>28</v>
      </c>
      <c r="B31" s="30" t="s">
        <v>29</v>
      </c>
    </row>
    <row r="35" spans="1:2">
      <c r="A35" s="29"/>
      <c r="B35" s="29"/>
    </row>
    <row r="36" spans="1:6">
      <c r="A36" s="29"/>
      <c r="B36" s="29"/>
      <c r="D36" s="11"/>
      <c r="F36" s="11"/>
    </row>
    <row r="37" spans="1:6">
      <c r="A37" s="29"/>
      <c r="B37" s="29"/>
      <c r="C37" s="15"/>
      <c r="D37" s="15"/>
      <c r="E37" s="15"/>
      <c r="F37" s="11"/>
    </row>
    <row r="38" spans="1:5">
      <c r="A38" s="29"/>
      <c r="B38" s="29"/>
      <c r="C38" s="16"/>
      <c r="D38" s="16"/>
      <c r="E38" s="16"/>
    </row>
    <row r="39" spans="1:5">
      <c r="A39" s="29"/>
      <c r="B39" s="29"/>
      <c r="C39" s="17"/>
      <c r="D39" s="17"/>
      <c r="E39" s="17"/>
    </row>
    <row r="40" spans="1:6">
      <c r="A40" s="11"/>
      <c r="B40" s="18"/>
      <c r="C40" s="18"/>
      <c r="D40" s="18"/>
      <c r="E40" s="18"/>
      <c r="F40" s="19"/>
    </row>
    <row r="42" spans="2:5">
      <c r="B42" s="20"/>
      <c r="C42" s="20"/>
      <c r="D42" s="20"/>
      <c r="E42" s="20"/>
    </row>
    <row r="43" spans="2:5">
      <c r="B43" s="17"/>
      <c r="C43" s="17"/>
      <c r="D43" s="17"/>
      <c r="E43" s="17"/>
    </row>
    <row r="44" spans="1:6">
      <c r="A44" s="11"/>
      <c r="B44" s="21"/>
      <c r="C44" s="18"/>
      <c r="D44" s="18"/>
      <c r="E44" s="18"/>
      <c r="F44" s="18"/>
    </row>
    <row r="46" spans="2:7">
      <c r="B46" s="22"/>
      <c r="C46" s="22"/>
      <c r="D46" s="22"/>
      <c r="E46" s="22"/>
      <c r="F46" s="19"/>
      <c r="G46" s="23"/>
    </row>
    <row r="47" spans="2:5">
      <c r="B47" s="22"/>
      <c r="C47" s="22"/>
      <c r="D47" s="22"/>
      <c r="E47" s="35"/>
    </row>
    <row r="49" spans="1:2">
      <c r="A49" s="11"/>
      <c r="B49" s="24"/>
    </row>
    <row r="50" spans="2:4">
      <c r="B50" s="36"/>
      <c r="C50" s="36"/>
      <c r="D50" s="36"/>
    </row>
    <row r="51" spans="1:1">
      <c r="A51" s="11"/>
    </row>
    <row r="52" ht="28" customHeight="1" spans="1:6">
      <c r="A52" s="27"/>
      <c r="B52" s="37"/>
      <c r="C52" s="37"/>
      <c r="D52" s="37"/>
      <c r="E52" s="37"/>
      <c r="F52" s="37"/>
    </row>
    <row r="53" ht="36" customHeight="1"/>
    <row r="54" ht="22.2" spans="1:7">
      <c r="A54" s="1"/>
      <c r="B54" s="2"/>
      <c r="C54" s="2"/>
      <c r="D54" s="2"/>
      <c r="E54" s="2"/>
      <c r="F54" s="2"/>
      <c r="G54" s="2"/>
    </row>
    <row r="55" ht="22.8" spans="1:7">
      <c r="A55" s="4"/>
      <c r="B55" s="4"/>
      <c r="C55" s="32"/>
      <c r="D55" s="32"/>
      <c r="E55" s="2"/>
      <c r="F55" s="2"/>
      <c r="G55" s="2"/>
    </row>
    <row r="56" ht="28" customHeight="1" spans="1:7">
      <c r="A56" s="7"/>
      <c r="B56" s="7"/>
      <c r="C56" s="7"/>
      <c r="D56" s="7"/>
      <c r="E56" s="7"/>
      <c r="F56" s="7"/>
      <c r="G56" s="7"/>
    </row>
    <row r="57" ht="30" customHeight="1" spans="1:7">
      <c r="A57" s="38"/>
      <c r="B57" s="39"/>
      <c r="C57" s="39"/>
      <c r="D57" s="39"/>
      <c r="E57" s="39"/>
      <c r="F57" s="39"/>
      <c r="G57" s="39"/>
    </row>
    <row r="58" spans="1:7">
      <c r="A58" s="10"/>
      <c r="B58" s="10"/>
      <c r="C58" s="10"/>
      <c r="D58" s="10"/>
      <c r="E58" s="10"/>
      <c r="F58" s="10"/>
      <c r="G58" s="10"/>
    </row>
    <row r="59" spans="1:2">
      <c r="A59" s="11"/>
      <c r="B59" s="12"/>
    </row>
    <row r="60" spans="1:2">
      <c r="A60" s="11"/>
      <c r="B60" s="13"/>
    </row>
    <row r="61" spans="4:6">
      <c r="D61" s="11"/>
      <c r="F61" s="11"/>
    </row>
    <row r="62" spans="2:6">
      <c r="B62" s="14"/>
      <c r="C62" s="15"/>
      <c r="D62" s="15"/>
      <c r="E62" s="15"/>
      <c r="F62" s="11"/>
    </row>
    <row r="63" spans="2:5">
      <c r="B63" s="16"/>
      <c r="C63" s="16"/>
      <c r="D63" s="16"/>
      <c r="E63" s="16"/>
    </row>
    <row r="64" spans="2:5">
      <c r="B64" s="17"/>
      <c r="C64" s="17"/>
      <c r="D64" s="17"/>
      <c r="E64" s="17"/>
    </row>
    <row r="65" spans="1:6">
      <c r="A65" s="11"/>
      <c r="B65" s="18"/>
      <c r="C65" s="18"/>
      <c r="D65" s="18"/>
      <c r="E65" s="18"/>
      <c r="F65" s="19"/>
    </row>
    <row r="67" spans="2:5">
      <c r="B67" s="20"/>
      <c r="C67" s="20"/>
      <c r="D67" s="20"/>
      <c r="E67" s="20"/>
    </row>
    <row r="68" spans="2:5">
      <c r="B68" s="17"/>
      <c r="C68" s="17"/>
      <c r="D68" s="17"/>
      <c r="E68" s="17"/>
    </row>
    <row r="69" spans="1:6">
      <c r="A69" s="11"/>
      <c r="B69" s="21"/>
      <c r="C69" s="18"/>
      <c r="D69" s="18"/>
      <c r="E69" s="18"/>
      <c r="F69" s="18"/>
    </row>
    <row r="71" spans="2:7">
      <c r="B71" s="22"/>
      <c r="C71" s="22"/>
      <c r="D71" s="22"/>
      <c r="E71" s="22"/>
      <c r="F71" s="19"/>
      <c r="G71" s="23"/>
    </row>
    <row r="72" spans="2:5">
      <c r="B72" s="22"/>
      <c r="C72" s="22"/>
      <c r="D72" s="22"/>
      <c r="E72" s="35"/>
    </row>
    <row r="74" spans="1:2">
      <c r="A74" s="11"/>
      <c r="B74" s="24"/>
    </row>
    <row r="75" spans="2:4">
      <c r="B75" s="26"/>
      <c r="C75" s="26"/>
      <c r="D75" s="26"/>
    </row>
    <row r="76" spans="1:1">
      <c r="A76" s="11"/>
    </row>
    <row r="77" ht="30" customHeight="1" spans="1:4">
      <c r="A77" s="27"/>
      <c r="B77" s="27"/>
      <c r="C77" s="27"/>
      <c r="D77" s="27"/>
    </row>
    <row r="78" ht="32" customHeight="1"/>
    <row r="79" ht="22.8" spans="1:7">
      <c r="A79" s="2"/>
      <c r="B79" s="2"/>
      <c r="C79" s="2"/>
      <c r="D79" s="2"/>
      <c r="E79" s="2"/>
      <c r="F79" s="2"/>
      <c r="G79" s="2"/>
    </row>
    <row r="80" ht="22.8" spans="1:7">
      <c r="A80" s="4"/>
      <c r="B80" s="4"/>
      <c r="C80" s="32"/>
      <c r="D80" s="32"/>
      <c r="E80" s="2"/>
      <c r="F80" s="2"/>
      <c r="G80" s="2"/>
    </row>
    <row r="81" ht="30" customHeight="1" spans="1:7">
      <c r="A81" s="7"/>
      <c r="B81" s="7"/>
      <c r="C81" s="7"/>
      <c r="D81" s="7"/>
      <c r="E81" s="7"/>
      <c r="F81" s="7"/>
      <c r="G81" s="7"/>
    </row>
    <row r="82" ht="15.6" spans="1:7">
      <c r="A82" s="8"/>
      <c r="B82" s="9"/>
      <c r="C82" s="9"/>
      <c r="D82" s="9"/>
      <c r="E82" s="9"/>
      <c r="F82" s="9"/>
      <c r="G82" s="9"/>
    </row>
    <row r="83" spans="1:7">
      <c r="A83" s="10"/>
      <c r="B83" s="10"/>
      <c r="C83" s="10"/>
      <c r="D83" s="10"/>
      <c r="E83" s="10"/>
      <c r="F83" s="10"/>
      <c r="G83" s="10"/>
    </row>
    <row r="84" spans="1:2">
      <c r="A84" s="11"/>
      <c r="B84" s="12"/>
    </row>
    <row r="85" spans="1:2">
      <c r="A85" s="11"/>
      <c r="B85" s="13"/>
    </row>
    <row r="86" spans="4:6">
      <c r="D86" s="11"/>
      <c r="F86" s="11"/>
    </row>
    <row r="87" spans="2:6">
      <c r="B87" s="14"/>
      <c r="C87" s="15"/>
      <c r="D87" s="15"/>
      <c r="E87" s="15"/>
      <c r="F87" s="11"/>
    </row>
    <row r="88" spans="2:5">
      <c r="B88" s="16"/>
      <c r="C88" s="16"/>
      <c r="D88" s="16"/>
      <c r="E88" s="16"/>
    </row>
    <row r="89" spans="2:5">
      <c r="B89" s="17"/>
      <c r="C89" s="17"/>
      <c r="D89" s="17"/>
      <c r="E89" s="17"/>
    </row>
    <row r="90" spans="1:6">
      <c r="A90" s="11"/>
      <c r="B90" s="18"/>
      <c r="C90" s="18"/>
      <c r="D90" s="18"/>
      <c r="E90" s="18"/>
      <c r="F90" s="19"/>
    </row>
    <row r="92" spans="2:5">
      <c r="B92" s="20"/>
      <c r="C92" s="20"/>
      <c r="D92" s="20"/>
      <c r="E92" s="20"/>
    </row>
    <row r="93" spans="2:5">
      <c r="B93" s="17"/>
      <c r="C93" s="17"/>
      <c r="D93" s="17"/>
      <c r="E93" s="17"/>
    </row>
    <row r="94" spans="1:6">
      <c r="A94" s="11"/>
      <c r="B94" s="21"/>
      <c r="C94" s="18"/>
      <c r="D94" s="18"/>
      <c r="E94" s="18"/>
      <c r="F94" s="18"/>
    </row>
    <row r="96" spans="2:7">
      <c r="B96" s="22"/>
      <c r="C96" s="22"/>
      <c r="D96" s="22"/>
      <c r="E96" s="22"/>
      <c r="F96" s="19"/>
      <c r="G96" s="23"/>
    </row>
    <row r="97" spans="2:5">
      <c r="B97" s="22"/>
      <c r="C97" s="22"/>
      <c r="D97" s="22"/>
      <c r="E97" s="35"/>
    </row>
    <row r="99" spans="1:2">
      <c r="A99" s="11"/>
      <c r="B99" s="24"/>
    </row>
    <row r="100" spans="2:6">
      <c r="B100" s="40"/>
      <c r="C100" s="40"/>
      <c r="D100" s="41"/>
      <c r="E100" s="41"/>
      <c r="F100" s="41"/>
    </row>
    <row r="101" spans="1:1">
      <c r="A101" s="11"/>
    </row>
    <row r="102" ht="33" customHeight="1" spans="1:3">
      <c r="A102" s="27"/>
      <c r="B102" s="27"/>
      <c r="C102" s="27"/>
    </row>
    <row r="103" ht="30" customHeight="1"/>
    <row r="104" ht="22.8" spans="1:7">
      <c r="A104" s="2"/>
      <c r="B104" s="2"/>
      <c r="C104" s="2"/>
      <c r="D104" s="2"/>
      <c r="E104" s="2"/>
      <c r="F104" s="2"/>
      <c r="G104" s="2"/>
    </row>
    <row r="105" ht="22.8" spans="1:7">
      <c r="A105" s="4"/>
      <c r="B105" s="4"/>
      <c r="C105" s="4"/>
      <c r="D105" s="2"/>
      <c r="E105" s="2"/>
      <c r="F105" s="2"/>
      <c r="G105" s="2"/>
    </row>
    <row r="106" ht="15" spans="1:7">
      <c r="A106" s="7"/>
      <c r="B106" s="7"/>
      <c r="C106" s="7"/>
      <c r="D106" s="7"/>
      <c r="E106" s="7"/>
      <c r="F106" s="7"/>
      <c r="G106" s="7"/>
    </row>
    <row r="107" spans="1:7">
      <c r="A107" s="10"/>
      <c r="B107" s="10"/>
      <c r="C107" s="10"/>
      <c r="D107" s="10"/>
      <c r="E107" s="10"/>
      <c r="F107" s="10"/>
      <c r="G107" s="10"/>
    </row>
    <row r="108" spans="1:2">
      <c r="A108" s="11"/>
      <c r="B108" s="12"/>
    </row>
    <row r="109" spans="1:2">
      <c r="A109" s="11"/>
      <c r="B109" s="13"/>
    </row>
    <row r="110" spans="4:6">
      <c r="D110" s="11"/>
      <c r="F110" s="11"/>
    </row>
    <row r="111" spans="2:6">
      <c r="B111" s="14"/>
      <c r="C111" s="15"/>
      <c r="D111" s="15"/>
      <c r="E111" s="15"/>
      <c r="F111" s="11"/>
    </row>
    <row r="112" spans="2:5">
      <c r="B112" s="16"/>
      <c r="C112" s="16"/>
      <c r="D112" s="16"/>
      <c r="E112" s="16"/>
    </row>
    <row r="113" spans="2:5">
      <c r="B113" s="17"/>
      <c r="C113" s="17"/>
      <c r="D113" s="17"/>
      <c r="E113" s="17"/>
    </row>
    <row r="114" spans="1:6">
      <c r="A114" s="11"/>
      <c r="B114" s="18"/>
      <c r="C114" s="18"/>
      <c r="D114" s="18"/>
      <c r="E114" s="18"/>
      <c r="F114" s="19"/>
    </row>
    <row r="116" spans="2:5">
      <c r="B116" s="20"/>
      <c r="C116" s="20"/>
      <c r="D116" s="20"/>
      <c r="E116" s="20"/>
    </row>
    <row r="117" spans="2:5">
      <c r="B117" s="17"/>
      <c r="C117" s="17"/>
      <c r="D117" s="17"/>
      <c r="E117" s="17"/>
    </row>
    <row r="118" spans="1:6">
      <c r="A118" s="11"/>
      <c r="B118" s="21"/>
      <c r="C118" s="18"/>
      <c r="D118" s="18"/>
      <c r="E118" s="18"/>
      <c r="F118" s="18"/>
    </row>
    <row r="120" spans="2:7">
      <c r="B120" s="22"/>
      <c r="C120" s="22"/>
      <c r="D120" s="22"/>
      <c r="E120" s="22"/>
      <c r="F120" s="19"/>
      <c r="G120" s="23"/>
    </row>
    <row r="121" spans="2:5">
      <c r="B121" s="22"/>
      <c r="C121" s="22"/>
      <c r="D121" s="22"/>
      <c r="E121" s="35"/>
    </row>
    <row r="123" spans="1:2">
      <c r="A123" s="11"/>
      <c r="B123" s="24"/>
    </row>
    <row r="124" spans="2:4">
      <c r="B124" s="26"/>
      <c r="C124" s="26"/>
      <c r="D124" s="26"/>
    </row>
    <row r="125" spans="1:1">
      <c r="A125" s="11"/>
    </row>
  </sheetData>
  <mergeCells count="23">
    <mergeCell ref="A1:G1"/>
    <mergeCell ref="A3:G3"/>
    <mergeCell ref="A4:G4"/>
    <mergeCell ref="B22:D22"/>
    <mergeCell ref="A24:D24"/>
    <mergeCell ref="C27:D27"/>
    <mergeCell ref="B50:D50"/>
    <mergeCell ref="A52:F52"/>
    <mergeCell ref="A54:G54"/>
    <mergeCell ref="C55:D55"/>
    <mergeCell ref="A56:G56"/>
    <mergeCell ref="A57:G57"/>
    <mergeCell ref="B75:D75"/>
    <mergeCell ref="A77:D77"/>
    <mergeCell ref="A79:G79"/>
    <mergeCell ref="C80:D80"/>
    <mergeCell ref="A81:G81"/>
    <mergeCell ref="A82:G82"/>
    <mergeCell ref="D100:F100"/>
    <mergeCell ref="A102:C102"/>
    <mergeCell ref="A104:G104"/>
    <mergeCell ref="A106:G106"/>
    <mergeCell ref="B124:D124"/>
  </mergeCells>
  <printOptions gridLines="1"/>
  <pageMargins left="0.75" right="0.75" top="1" bottom="1" header="0.5" footer="0.5"/>
  <pageSetup paperSize="1" scale="95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Augsburg College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Department</dc:creator>
  <cp:lastModifiedBy>ASUS</cp:lastModifiedBy>
  <dcterms:created xsi:type="dcterms:W3CDTF">2003-02-20T16:30:00Z</dcterms:created>
  <cp:lastPrinted>2005-03-27T16:41:00Z</cp:lastPrinted>
  <dcterms:modified xsi:type="dcterms:W3CDTF">2022-11-17T04:57:36Z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4476E986880E46C4BEB6F5EBE8C6F63C</vt:lpwstr>
  </property>
  <property fmtid="{D5CDD505-2E9C-101B-9397-08002B2CF9AE}" pid="3" name="KSOProductBuildVer">
    <vt:lpwstr>2052-11.1.0.12763</vt:lpwstr>
  </property>
</Properties>
</file>